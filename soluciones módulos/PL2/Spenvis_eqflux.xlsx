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geniería aeroespacial\TFG\Outer Environment Tool\space_environment_tool3\soluciones prácticas\PL2\"/>
    </mc:Choice>
  </mc:AlternateContent>
  <xr:revisionPtr revIDLastSave="0" documentId="13_ncr:1_{B3747C6B-8A2B-4364-8CDF-4B86F7889106}" xr6:coauthVersionLast="47" xr6:coauthVersionMax="47" xr10:uidLastSave="{00000000-0000-0000-0000-000000000000}"/>
  <bookViews>
    <workbookView xWindow="19380" yWindow="3690" windowWidth="18720" windowHeight="17190" xr2:uid="{63143828-A556-4ACB-9DC6-8A8330245C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5" i="1"/>
  <c r="C18" i="1"/>
  <c r="C19" i="1"/>
  <c r="C20" i="1"/>
  <c r="C21" i="1"/>
  <c r="C22" i="1"/>
  <c r="C23" i="1"/>
  <c r="C17" i="1"/>
  <c r="B18" i="1"/>
  <c r="B16" i="1"/>
  <c r="B17" i="1"/>
  <c r="B19" i="1"/>
  <c r="B20" i="1"/>
  <c r="B21" i="1"/>
  <c r="B22" i="1"/>
  <c r="B23" i="1"/>
  <c r="B15" i="1"/>
</calcChain>
</file>

<file path=xl/sharedStrings.xml><?xml version="1.0" encoding="utf-8"?>
<sst xmlns="http://schemas.openxmlformats.org/spreadsheetml/2006/main" count="44" uniqueCount="41">
  <si>
    <t>Coverglass thickness</t>
  </si>
  <si>
    <t>Total</t>
  </si>
  <si>
    <t>Trapped electrons</t>
  </si>
  <si>
    <t>Trapped protons</t>
  </si>
  <si>
    <r>
      <t>g cm</t>
    </r>
    <r>
      <rPr>
        <b/>
        <vertAlign val="superscript"/>
        <sz val="11"/>
        <color theme="1"/>
        <rFont val="Times New Roman"/>
        <family val="1"/>
      </rPr>
      <t>-2</t>
    </r>
  </si>
  <si>
    <t>mils</t>
  </si>
  <si>
    <t>micron</t>
  </si>
  <si>
    <r>
      <t>P</t>
    </r>
    <r>
      <rPr>
        <b/>
        <vertAlign val="subscript"/>
        <sz val="11"/>
        <color theme="1"/>
        <rFont val="Times New Roman"/>
        <family val="1"/>
      </rPr>
      <t>max</t>
    </r>
  </si>
  <si>
    <r>
      <t>V</t>
    </r>
    <r>
      <rPr>
        <b/>
        <vertAlign val="subscript"/>
        <sz val="11"/>
        <color theme="1"/>
        <rFont val="Times New Roman"/>
        <family val="1"/>
      </rPr>
      <t>oc</t>
    </r>
  </si>
  <si>
    <r>
      <t>I</t>
    </r>
    <r>
      <rPr>
        <b/>
        <vertAlign val="subscript"/>
        <sz val="11"/>
        <color theme="1"/>
        <rFont val="Times New Roman"/>
        <family val="1"/>
      </rPr>
      <t>sc</t>
    </r>
  </si>
  <si>
    <r>
      <t>P</t>
    </r>
    <r>
      <rPr>
        <b/>
        <vertAlign val="subscript"/>
        <sz val="11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>, V</t>
    </r>
    <r>
      <rPr>
        <b/>
        <vertAlign val="subscript"/>
        <sz val="11"/>
        <color theme="1"/>
        <rFont val="Times New Roman"/>
        <family val="1"/>
      </rPr>
      <t>oc</t>
    </r>
    <r>
      <rPr>
        <b/>
        <sz val="11"/>
        <color theme="1"/>
        <rFont val="Times New Roman"/>
        <family val="1"/>
      </rPr>
      <t>, I</t>
    </r>
    <r>
      <rPr>
        <b/>
        <vertAlign val="subscript"/>
        <sz val="11"/>
        <color theme="1"/>
        <rFont val="Times New Roman"/>
        <family val="1"/>
      </rPr>
      <t>sc</t>
    </r>
  </si>
  <si>
    <t>0.0000</t>
  </si>
  <si>
    <t>0.0</t>
  </si>
  <si>
    <t>0.00</t>
  </si>
  <si>
    <t>0.0056</t>
  </si>
  <si>
    <t>1.0</t>
  </si>
  <si>
    <t>25.40</t>
  </si>
  <si>
    <t>0.0168</t>
  </si>
  <si>
    <t>3.0</t>
  </si>
  <si>
    <t>76.20</t>
  </si>
  <si>
    <t>0.0335</t>
  </si>
  <si>
    <t>6.0</t>
  </si>
  <si>
    <t>152.40</t>
  </si>
  <si>
    <t>0.0671</t>
  </si>
  <si>
    <t>12.0</t>
  </si>
  <si>
    <t>304.80</t>
  </si>
  <si>
    <t>0.1118</t>
  </si>
  <si>
    <t>20.0</t>
  </si>
  <si>
    <t>508.00</t>
  </si>
  <si>
    <t>0.1676</t>
  </si>
  <si>
    <t>30.0</t>
  </si>
  <si>
    <t>762.00</t>
  </si>
  <si>
    <t>0.3353</t>
  </si>
  <si>
    <t>60.0</t>
  </si>
  <si>
    <t>1524.00</t>
  </si>
  <si>
    <t>User defined coverglass thickness</t>
  </si>
  <si>
    <t>0.0022</t>
  </si>
  <si>
    <t>0.4</t>
  </si>
  <si>
    <t>10.00</t>
  </si>
  <si>
    <t>mm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</si>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</sst>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11" fontId="4" fillId="2" borderId="1" xfId="0" applyNumberFormat="1" applyFont="1" applyFill="1" applyBorder="1" applyAlignment="1">
      <alignment horizontal="right"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4" fillId="2" borderId="0" xfId="0" applyFont="1" applyFill="1" applyAlignment="1">
      <alignment horizontal="right" vertical="center" wrapText="1"/>
    </xf>
    <xf numFmtId="11" fontId="0" fillId="0" borderId="0" xfId="0" applyNumberForma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8E79-DB25-4FE8-8FB9-CD4D1A097B68}">
  <dimension ref="A1:Q23"/>
  <sheetViews>
    <sheetView tabSelected="1" topLeftCell="A5" workbookViewId="0">
      <selection activeCell="F26" sqref="F26"/>
    </sheetView>
  </sheetViews>
  <sheetFormatPr defaultColWidth="11.42578125" defaultRowHeight="15" x14ac:dyDescent="0.25"/>
  <sheetData>
    <row r="1" spans="1:17" ht="28.5" x14ac:dyDescent="0.25">
      <c r="A1" s="12" t="s">
        <v>0</v>
      </c>
      <c r="B1" s="13"/>
      <c r="C1" s="14"/>
      <c r="D1" s="12" t="s">
        <v>1</v>
      </c>
      <c r="E1" s="13"/>
      <c r="F1" s="14"/>
      <c r="G1" s="2" t="s">
        <v>2</v>
      </c>
      <c r="H1" s="12" t="s">
        <v>3</v>
      </c>
      <c r="I1" s="13"/>
      <c r="J1" s="14"/>
      <c r="K1" s="5"/>
      <c r="L1" s="5"/>
      <c r="M1" s="5"/>
      <c r="N1" s="5"/>
      <c r="O1" s="5"/>
      <c r="P1" s="5"/>
      <c r="Q1" s="6"/>
    </row>
    <row r="2" spans="1:17" ht="34.5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7</v>
      </c>
      <c r="I2" s="2" t="s">
        <v>8</v>
      </c>
      <c r="J2" s="2" t="s">
        <v>9</v>
      </c>
      <c r="K2" s="1"/>
      <c r="L2" s="1"/>
      <c r="M2" s="1"/>
      <c r="N2" s="1"/>
      <c r="O2" s="1"/>
      <c r="P2" s="1"/>
      <c r="Q2" s="7"/>
    </row>
    <row r="3" spans="1:17" x14ac:dyDescent="0.25">
      <c r="A3" s="3" t="s">
        <v>11</v>
      </c>
      <c r="B3" s="3" t="s">
        <v>12</v>
      </c>
      <c r="C3" s="3" t="s">
        <v>13</v>
      </c>
      <c r="D3" s="4">
        <v>8.71E+17</v>
      </c>
      <c r="E3" s="4">
        <v>9.172E+17</v>
      </c>
      <c r="F3" s="4">
        <v>4.094E+17</v>
      </c>
      <c r="G3" s="4">
        <v>335700000000000</v>
      </c>
      <c r="H3" s="4">
        <v>8.707E+17</v>
      </c>
      <c r="I3" s="4">
        <v>9.168E+17</v>
      </c>
      <c r="J3" s="4">
        <v>4.091E+17</v>
      </c>
      <c r="K3" s="1"/>
      <c r="L3" s="1"/>
      <c r="M3" s="1"/>
      <c r="N3" s="1"/>
      <c r="O3" s="1"/>
      <c r="P3" s="1"/>
      <c r="Q3" s="7"/>
    </row>
    <row r="4" spans="1:17" x14ac:dyDescent="0.25">
      <c r="A4" s="3" t="s">
        <v>14</v>
      </c>
      <c r="B4" s="3" t="s">
        <v>15</v>
      </c>
      <c r="C4" s="3" t="s">
        <v>16</v>
      </c>
      <c r="D4" s="4">
        <v>1.724E+16</v>
      </c>
      <c r="E4" s="4">
        <v>1.293E+16</v>
      </c>
      <c r="F4" s="4">
        <v>9583000000000000</v>
      </c>
      <c r="G4" s="4">
        <v>281500000000000</v>
      </c>
      <c r="H4" s="4">
        <v>1.696E+16</v>
      </c>
      <c r="I4" s="4">
        <v>1.265E+16</v>
      </c>
      <c r="J4" s="4">
        <v>9302000000000000</v>
      </c>
      <c r="K4" s="1"/>
      <c r="L4" s="1"/>
      <c r="M4" s="1"/>
      <c r="N4" s="1"/>
      <c r="O4" s="1"/>
      <c r="P4" s="1"/>
      <c r="Q4" s="7"/>
    </row>
    <row r="5" spans="1:17" x14ac:dyDescent="0.25">
      <c r="A5" s="3" t="s">
        <v>17</v>
      </c>
      <c r="B5" s="3" t="s">
        <v>18</v>
      </c>
      <c r="C5" s="3" t="s">
        <v>19</v>
      </c>
      <c r="D5" s="4">
        <v>6246000000000000</v>
      </c>
      <c r="E5" s="4">
        <v>4891000000000000</v>
      </c>
      <c r="F5" s="4">
        <v>3145000000000000</v>
      </c>
      <c r="G5" s="4">
        <v>228000000000000</v>
      </c>
      <c r="H5" s="4">
        <v>6017000000000000</v>
      </c>
      <c r="I5" s="4">
        <v>4663000000000000</v>
      </c>
      <c r="J5" s="4">
        <v>2917000000000000</v>
      </c>
      <c r="K5" s="1"/>
      <c r="L5" s="1"/>
      <c r="M5" s="1"/>
      <c r="N5" s="1"/>
      <c r="O5" s="1"/>
      <c r="P5" s="1"/>
      <c r="Q5" s="7"/>
    </row>
    <row r="6" spans="1:17" x14ac:dyDescent="0.25">
      <c r="A6" s="3" t="s">
        <v>20</v>
      </c>
      <c r="B6" s="3" t="s">
        <v>21</v>
      </c>
      <c r="C6" s="3" t="s">
        <v>22</v>
      </c>
      <c r="D6" s="4">
        <v>3510000000000000</v>
      </c>
      <c r="E6" s="4">
        <v>2987000000000000</v>
      </c>
      <c r="F6" s="4">
        <v>1719000000000000</v>
      </c>
      <c r="G6" s="4">
        <v>182000000000000</v>
      </c>
      <c r="H6" s="4">
        <v>3328000000000000</v>
      </c>
      <c r="I6" s="4">
        <v>2805000000000000</v>
      </c>
      <c r="J6" s="4">
        <v>1537000000000000</v>
      </c>
      <c r="K6" s="1"/>
      <c r="L6" s="1"/>
      <c r="M6" s="1"/>
      <c r="N6" s="1"/>
      <c r="O6" s="1"/>
      <c r="P6" s="1"/>
      <c r="Q6" s="7"/>
    </row>
    <row r="7" spans="1:17" x14ac:dyDescent="0.25">
      <c r="A7" s="3" t="s">
        <v>23</v>
      </c>
      <c r="B7" s="3" t="s">
        <v>24</v>
      </c>
      <c r="C7" s="3" t="s">
        <v>25</v>
      </c>
      <c r="D7" s="4">
        <v>2130000000000000</v>
      </c>
      <c r="E7" s="4">
        <v>2040000000000000</v>
      </c>
      <c r="F7" s="4">
        <v>1002000000000000</v>
      </c>
      <c r="G7" s="4">
        <v>131500000000000</v>
      </c>
      <c r="H7" s="4">
        <v>1999000000000000</v>
      </c>
      <c r="I7" s="4">
        <v>1909000000000000</v>
      </c>
      <c r="J7" s="4">
        <v>870200000000000</v>
      </c>
      <c r="K7" s="1"/>
      <c r="L7" s="1"/>
      <c r="M7" s="1"/>
      <c r="N7" s="1"/>
      <c r="O7" s="1"/>
      <c r="P7" s="1"/>
      <c r="Q7" s="7"/>
    </row>
    <row r="8" spans="1:17" x14ac:dyDescent="0.25">
      <c r="A8" s="3" t="s">
        <v>26</v>
      </c>
      <c r="B8" s="3" t="s">
        <v>27</v>
      </c>
      <c r="C8" s="3" t="s">
        <v>28</v>
      </c>
      <c r="D8" s="4">
        <v>1509000000000000</v>
      </c>
      <c r="E8" s="4">
        <v>1623000000000000</v>
      </c>
      <c r="F8" s="4">
        <v>665300000000000</v>
      </c>
      <c r="G8" s="4">
        <v>95670000000000</v>
      </c>
      <c r="H8" s="4">
        <v>1413000000000000</v>
      </c>
      <c r="I8" s="4">
        <v>1528000000000000</v>
      </c>
      <c r="J8" s="4">
        <v>569600000000000</v>
      </c>
      <c r="K8" s="1"/>
      <c r="L8" s="1"/>
      <c r="M8" s="1"/>
      <c r="N8" s="1"/>
      <c r="O8" s="1"/>
      <c r="P8" s="1"/>
      <c r="Q8" s="7"/>
    </row>
    <row r="9" spans="1:17" x14ac:dyDescent="0.25">
      <c r="A9" s="3" t="s">
        <v>29</v>
      </c>
      <c r="B9" s="3" t="s">
        <v>30</v>
      </c>
      <c r="C9" s="3" t="s">
        <v>31</v>
      </c>
      <c r="D9" s="4">
        <v>1151000000000000</v>
      </c>
      <c r="E9" s="4">
        <v>1329000000000000</v>
      </c>
      <c r="F9" s="4">
        <v>483400000000000</v>
      </c>
      <c r="G9" s="4">
        <v>69710000000000</v>
      </c>
      <c r="H9" s="4">
        <v>1081000000000000</v>
      </c>
      <c r="I9" s="4">
        <v>1259000000000000</v>
      </c>
      <c r="J9" s="4">
        <v>413700000000000</v>
      </c>
      <c r="K9" s="1"/>
      <c r="L9" s="1"/>
      <c r="M9" s="1"/>
      <c r="N9" s="1"/>
      <c r="O9" s="1"/>
      <c r="P9" s="1"/>
      <c r="Q9" s="7"/>
    </row>
    <row r="10" spans="1:17" x14ac:dyDescent="0.25">
      <c r="A10" s="3" t="s">
        <v>32</v>
      </c>
      <c r="B10" s="3" t="s">
        <v>33</v>
      </c>
      <c r="C10" s="3" t="s">
        <v>34</v>
      </c>
      <c r="D10" s="4">
        <v>858600000000000</v>
      </c>
      <c r="E10" s="4">
        <v>1057000000000000</v>
      </c>
      <c r="F10" s="4">
        <v>326200000000000</v>
      </c>
      <c r="G10" s="4">
        <v>32930000000000</v>
      </c>
      <c r="H10" s="4">
        <v>825700000000000</v>
      </c>
      <c r="I10" s="4">
        <v>1024000000000000</v>
      </c>
      <c r="J10" s="4">
        <v>293300000000000</v>
      </c>
      <c r="K10" s="1"/>
      <c r="L10" s="1"/>
      <c r="M10" s="1"/>
      <c r="N10" s="1"/>
      <c r="O10" s="1"/>
      <c r="P10" s="1"/>
      <c r="Q10" s="7"/>
    </row>
    <row r="11" spans="1:17" x14ac:dyDescent="0.25">
      <c r="A11" s="12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</row>
    <row r="12" spans="1:17" x14ac:dyDescent="0.25">
      <c r="A12" s="3" t="s">
        <v>36</v>
      </c>
      <c r="B12" s="3" t="s">
        <v>37</v>
      </c>
      <c r="C12" s="3" t="s">
        <v>38</v>
      </c>
      <c r="D12" s="4">
        <v>1.968E+16</v>
      </c>
      <c r="E12" s="4">
        <v>1.493E+16</v>
      </c>
      <c r="F12" s="4">
        <v>1.088E+16</v>
      </c>
      <c r="G12" s="4">
        <v>283100000000000</v>
      </c>
      <c r="H12" s="4">
        <v>1.937E+16</v>
      </c>
      <c r="I12" s="4">
        <v>1.461E+16</v>
      </c>
      <c r="J12" s="4">
        <v>1.057E+16</v>
      </c>
      <c r="K12" s="8"/>
      <c r="L12" s="8"/>
      <c r="M12" s="8"/>
      <c r="N12" s="8"/>
      <c r="O12" s="8"/>
      <c r="P12" s="8"/>
      <c r="Q12" s="9"/>
    </row>
    <row r="14" spans="1:17" x14ac:dyDescent="0.25">
      <c r="B14" s="10" t="s">
        <v>39</v>
      </c>
      <c r="C14" s="10" t="s">
        <v>40</v>
      </c>
    </row>
    <row r="15" spans="1:17" x14ac:dyDescent="0.25">
      <c r="A15" s="3">
        <v>0</v>
      </c>
      <c r="B15">
        <f>A15/1000</f>
        <v>0</v>
      </c>
      <c r="C15" s="11">
        <f>D3/1000</f>
        <v>871000000000000</v>
      </c>
    </row>
    <row r="16" spans="1:17" x14ac:dyDescent="0.25">
      <c r="A16">
        <v>10</v>
      </c>
      <c r="B16">
        <f t="shared" ref="B16:B23" si="0">A16/1000</f>
        <v>0.01</v>
      </c>
      <c r="C16" s="11">
        <f>D12/1000</f>
        <v>19680000000000</v>
      </c>
    </row>
    <row r="17" spans="1:3" x14ac:dyDescent="0.25">
      <c r="A17" s="3">
        <v>25.4</v>
      </c>
      <c r="B17">
        <f t="shared" si="0"/>
        <v>2.5399999999999999E-2</v>
      </c>
      <c r="C17" s="11">
        <f>D4/1000</f>
        <v>17240000000000</v>
      </c>
    </row>
    <row r="18" spans="1:3" x14ac:dyDescent="0.25">
      <c r="A18" s="3">
        <v>76.2</v>
      </c>
      <c r="B18">
        <f>A18/1000</f>
        <v>7.6200000000000004E-2</v>
      </c>
      <c r="C18" s="11">
        <f t="shared" ref="C18:C23" si="1">D5/1000</f>
        <v>6246000000000</v>
      </c>
    </row>
    <row r="19" spans="1:3" x14ac:dyDescent="0.25">
      <c r="A19" s="3">
        <v>152.4</v>
      </c>
      <c r="B19">
        <f t="shared" si="0"/>
        <v>0.15240000000000001</v>
      </c>
      <c r="C19" s="11">
        <f t="shared" si="1"/>
        <v>3510000000000</v>
      </c>
    </row>
    <row r="20" spans="1:3" x14ac:dyDescent="0.25">
      <c r="A20" s="3">
        <v>304.8</v>
      </c>
      <c r="B20">
        <f t="shared" si="0"/>
        <v>0.30480000000000002</v>
      </c>
      <c r="C20" s="11">
        <f t="shared" si="1"/>
        <v>2130000000000</v>
      </c>
    </row>
    <row r="21" spans="1:3" x14ac:dyDescent="0.25">
      <c r="A21" s="3">
        <v>508</v>
      </c>
      <c r="B21">
        <f t="shared" si="0"/>
        <v>0.50800000000000001</v>
      </c>
      <c r="C21" s="11">
        <f t="shared" si="1"/>
        <v>1509000000000</v>
      </c>
    </row>
    <row r="22" spans="1:3" x14ac:dyDescent="0.25">
      <c r="A22" s="3">
        <v>762</v>
      </c>
      <c r="B22">
        <f t="shared" si="0"/>
        <v>0.76200000000000001</v>
      </c>
      <c r="C22" s="11">
        <f t="shared" si="1"/>
        <v>1151000000000</v>
      </c>
    </row>
    <row r="23" spans="1:3" x14ac:dyDescent="0.25">
      <c r="A23" s="3">
        <v>1524</v>
      </c>
      <c r="B23">
        <f t="shared" si="0"/>
        <v>1.524</v>
      </c>
      <c r="C23" s="11">
        <f t="shared" si="1"/>
        <v>858600000000</v>
      </c>
    </row>
  </sheetData>
  <mergeCells count="4">
    <mergeCell ref="A1:C1"/>
    <mergeCell ref="D1:F1"/>
    <mergeCell ref="H1:J1"/>
    <mergeCell ref="A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CLIMENT GARCÍA</dc:creator>
  <cp:lastModifiedBy>JUAN CLIMENT GARCÍA</cp:lastModifiedBy>
  <dcterms:created xsi:type="dcterms:W3CDTF">2026-06-23T15:36:17Z</dcterms:created>
  <dcterms:modified xsi:type="dcterms:W3CDTF">2026-06-23T20:34:14Z</dcterms:modified>
</cp:coreProperties>
</file>