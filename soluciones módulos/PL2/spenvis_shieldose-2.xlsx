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geniería aeroespacial\TFG\Outer Environment Tool\space_environment_tool3\soluciones prácticas\PL2\"/>
    </mc:Choice>
  </mc:AlternateContent>
  <xr:revisionPtr revIDLastSave="0" documentId="13_ncr:1_{4378723C-D0E2-4E30-B398-A6000A090AD1}" xr6:coauthVersionLast="47" xr6:coauthVersionMax="47" xr10:uidLastSave="{00000000-0000-0000-0000-000000000000}"/>
  <bookViews>
    <workbookView xWindow="19095" yWindow="0" windowWidth="19410" windowHeight="20985" xr2:uid="{C37BA14A-A89D-4C81-B908-F1159AC13E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7" i="1" l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36" i="1"/>
  <c r="E3" i="1"/>
  <c r="E4" i="1"/>
  <c r="E5" i="1"/>
  <c r="E2" i="1"/>
  <c r="C3" i="1"/>
  <c r="C4" i="1"/>
  <c r="C5" i="1"/>
  <c r="C2" i="1"/>
</calcChain>
</file>

<file path=xl/sharedStrings.xml><?xml version="1.0" encoding="utf-8"?>
<sst xmlns="http://schemas.openxmlformats.org/spreadsheetml/2006/main" count="26" uniqueCount="22">
  <si>
    <t>0.050</t>
  </si>
  <si>
    <t>0.100</t>
  </si>
  <si>
    <t>0.200</t>
  </si>
  <si>
    <t>0.300</t>
  </si>
  <si>
    <t>mm</t>
  </si>
  <si>
    <t>total rad</t>
  </si>
  <si>
    <t>total krad</t>
  </si>
  <si>
    <t>Al absorber thickness</t>
  </si>
  <si>
    <t>Total</t>
  </si>
  <si>
    <t>Trapped</t>
  </si>
  <si>
    <t>electrons</t>
  </si>
  <si>
    <t>Brems-</t>
  </si>
  <si>
    <t>strahlung</t>
  </si>
  <si>
    <t>protons</t>
  </si>
  <si>
    <t>Tr. electrons+</t>
  </si>
  <si>
    <t>Bremsstrahlung</t>
  </si>
  <si>
    <t>Tr. el.+Bremss.</t>
  </si>
  <si>
    <t>+Tr. protons</t>
  </si>
  <si>
    <t>(mm)</t>
  </si>
  <si>
    <t>(mils)</t>
  </si>
  <si>
    <r>
      <t>(g cm</t>
    </r>
    <r>
      <rPr>
        <b/>
        <vertAlign val="superscript"/>
        <sz val="11"/>
        <color theme="1"/>
        <rFont val="Times New Roman"/>
        <family val="1"/>
      </rPr>
      <t>-2</t>
    </r>
    <r>
      <rPr>
        <b/>
        <sz val="11"/>
        <color theme="1"/>
        <rFont val="Times New Roman"/>
        <family val="1"/>
      </rPr>
      <t>)</t>
    </r>
  </si>
  <si>
    <t>krad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</si>
</sst>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11" fontId="1" fillId="2" borderId="0" xfId="0" applyNumberFormat="1" applyFont="1" applyFill="1" applyAlignment="1">
      <alignment horizontal="right" vertical="center" wrapText="1"/>
    </xf>
    <xf numFmtId="11" fontId="0" fillId="0" borderId="0" xfId="0" applyNumberFormat="1"/>
    <xf numFmtId="0" fontId="3" fillId="3" borderId="5" xfId="0" applyFont="1" applyFill="1" applyBorder="1" applyAlignment="1">
      <alignment horizontal="center" vertical="center" wrapText="1"/>
    </xf>
    <xf numFmtId="0" fontId="5" fillId="3" borderId="5" xfId="1" applyFill="1" applyBorder="1" applyAlignment="1">
      <alignment horizontal="center" vertical="center" wrapText="1"/>
    </xf>
    <xf numFmtId="0" fontId="5" fillId="3" borderId="6" xfId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11" fontId="1" fillId="2" borderId="1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envis.oma.be/spenvis/htusers/J/Juacliga/PL2/1782242357/spenvis_trp.html" TargetMode="External"/><Relationship Id="rId2" Type="http://schemas.openxmlformats.org/officeDocument/2006/relationships/hyperlink" Target="https://www.spenvis.oma.be/spenvis/htusers/J/Juacliga/PL2/1782242357/spenvis_trp.html" TargetMode="External"/><Relationship Id="rId1" Type="http://schemas.openxmlformats.org/officeDocument/2006/relationships/hyperlink" Target="https://www.spenvis.oma.be/spenvis/htusers/J/Juacliga/PL2/1782242357/spenvis_trp.html" TargetMode="External"/><Relationship Id="rId4" Type="http://schemas.openxmlformats.org/officeDocument/2006/relationships/hyperlink" Target="https://www.spenvis.oma.be/spenvis/htusers/J/Juacliga/PL2/1782242357/spenvis_tr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7A1B-5CD1-4376-8557-DB5E55F7A63C}">
  <dimension ref="A1:I60"/>
  <sheetViews>
    <sheetView tabSelected="1" topLeftCell="A11" workbookViewId="0">
      <selection activeCell="A36" sqref="A36:B60"/>
    </sheetView>
  </sheetViews>
  <sheetFormatPr defaultColWidth="11.42578125" defaultRowHeight="15" x14ac:dyDescent="0.25"/>
  <sheetData>
    <row r="1" spans="1:9" x14ac:dyDescent="0.25">
      <c r="A1" t="s">
        <v>4</v>
      </c>
      <c r="B1" t="s">
        <v>5</v>
      </c>
      <c r="C1" t="s">
        <v>6</v>
      </c>
      <c r="E1" t="s">
        <v>4</v>
      </c>
      <c r="F1" t="s">
        <v>6</v>
      </c>
    </row>
    <row r="2" spans="1:9" x14ac:dyDescent="0.25">
      <c r="A2" s="1" t="s">
        <v>0</v>
      </c>
      <c r="B2" s="2">
        <v>1108000000</v>
      </c>
      <c r="C2" s="3">
        <f>B2/1000</f>
        <v>1108000</v>
      </c>
      <c r="E2" s="1" t="str">
        <f>A2</f>
        <v>0.050</v>
      </c>
      <c r="F2" s="3">
        <v>1108000</v>
      </c>
    </row>
    <row r="3" spans="1:9" x14ac:dyDescent="0.25">
      <c r="A3" s="1" t="s">
        <v>1</v>
      </c>
      <c r="B3" s="2">
        <v>600700000</v>
      </c>
      <c r="C3" s="3">
        <f t="shared" ref="C3:C5" si="0">B3/1000</f>
        <v>600700</v>
      </c>
      <c r="E3" s="1" t="str">
        <f t="shared" ref="E3:E5" si="1">A3</f>
        <v>0.100</v>
      </c>
      <c r="F3" s="3">
        <v>600700</v>
      </c>
    </row>
    <row r="4" spans="1:9" x14ac:dyDescent="0.25">
      <c r="A4" s="1" t="s">
        <v>2</v>
      </c>
      <c r="B4" s="2">
        <v>252400000</v>
      </c>
      <c r="C4" s="3">
        <f t="shared" si="0"/>
        <v>252400</v>
      </c>
      <c r="E4" s="1" t="str">
        <f t="shared" si="1"/>
        <v>0.200</v>
      </c>
      <c r="F4" s="3">
        <v>252400</v>
      </c>
    </row>
    <row r="5" spans="1:9" x14ac:dyDescent="0.25">
      <c r="A5" s="1" t="s">
        <v>3</v>
      </c>
      <c r="B5" s="2">
        <v>124600000</v>
      </c>
      <c r="C5" s="3">
        <f t="shared" si="0"/>
        <v>124600</v>
      </c>
      <c r="E5" s="1" t="str">
        <f t="shared" si="1"/>
        <v>0.300</v>
      </c>
      <c r="F5" s="3">
        <v>124600</v>
      </c>
    </row>
    <row r="6" spans="1:9" ht="28.5" x14ac:dyDescent="0.25">
      <c r="A6" s="11" t="s">
        <v>7</v>
      </c>
      <c r="B6" s="12"/>
      <c r="C6" s="13"/>
      <c r="D6" s="14" t="s">
        <v>8</v>
      </c>
      <c r="E6" s="5" t="s">
        <v>9</v>
      </c>
      <c r="F6" s="4" t="s">
        <v>11</v>
      </c>
      <c r="G6" s="5" t="s">
        <v>9</v>
      </c>
      <c r="H6" s="4" t="s">
        <v>14</v>
      </c>
      <c r="I6" s="4" t="s">
        <v>16</v>
      </c>
    </row>
    <row r="7" spans="1:9" ht="28.5" x14ac:dyDescent="0.25">
      <c r="A7" s="8" t="s">
        <v>18</v>
      </c>
      <c r="B7" s="8" t="s">
        <v>19</v>
      </c>
      <c r="C7" s="8" t="s">
        <v>20</v>
      </c>
      <c r="D7" s="15"/>
      <c r="E7" s="6" t="s">
        <v>10</v>
      </c>
      <c r="F7" s="7" t="s">
        <v>12</v>
      </c>
      <c r="G7" s="6" t="s">
        <v>13</v>
      </c>
      <c r="H7" s="7" t="s">
        <v>15</v>
      </c>
      <c r="I7" s="7" t="s">
        <v>17</v>
      </c>
    </row>
    <row r="8" spans="1:9" x14ac:dyDescent="0.25">
      <c r="A8" s="9">
        <v>0.05</v>
      </c>
      <c r="B8" s="9">
        <v>1.968</v>
      </c>
      <c r="C8" s="9">
        <v>1.4E-2</v>
      </c>
      <c r="D8" s="10">
        <v>1108000</v>
      </c>
      <c r="E8" s="10">
        <v>1093000</v>
      </c>
      <c r="F8" s="10">
        <v>1972</v>
      </c>
      <c r="G8" s="10">
        <v>13100</v>
      </c>
      <c r="H8" s="10">
        <v>1095000</v>
      </c>
      <c r="I8" s="10">
        <v>1108000</v>
      </c>
    </row>
    <row r="9" spans="1:9" x14ac:dyDescent="0.25">
      <c r="A9" s="9">
        <v>0.1</v>
      </c>
      <c r="B9" s="9">
        <v>3.9369999999999998</v>
      </c>
      <c r="C9" s="9">
        <v>2.7E-2</v>
      </c>
      <c r="D9" s="10">
        <v>600700</v>
      </c>
      <c r="E9" s="10">
        <v>592700</v>
      </c>
      <c r="F9" s="10">
        <v>1117</v>
      </c>
      <c r="G9" s="10">
        <v>6919</v>
      </c>
      <c r="H9" s="10">
        <v>593800</v>
      </c>
      <c r="I9" s="10">
        <v>600700</v>
      </c>
    </row>
    <row r="10" spans="1:9" x14ac:dyDescent="0.25">
      <c r="A10" s="9">
        <v>0.2</v>
      </c>
      <c r="B10" s="9">
        <v>7.8739999999999997</v>
      </c>
      <c r="C10" s="9">
        <v>5.3999999999999999E-2</v>
      </c>
      <c r="D10" s="10">
        <v>252400</v>
      </c>
      <c r="E10" s="10">
        <v>247900</v>
      </c>
      <c r="F10" s="10">
        <v>539.9</v>
      </c>
      <c r="G10" s="10">
        <v>3881</v>
      </c>
      <c r="H10" s="10">
        <v>248500</v>
      </c>
      <c r="I10" s="10">
        <v>252400</v>
      </c>
    </row>
    <row r="11" spans="1:9" x14ac:dyDescent="0.25">
      <c r="A11" s="9">
        <v>0.3</v>
      </c>
      <c r="B11" s="9">
        <v>11.811</v>
      </c>
      <c r="C11" s="9">
        <v>8.1000000000000003E-2</v>
      </c>
      <c r="D11" s="10">
        <v>124600</v>
      </c>
      <c r="E11" s="10">
        <v>121300</v>
      </c>
      <c r="F11" s="10">
        <v>314.5</v>
      </c>
      <c r="G11" s="10">
        <v>2912</v>
      </c>
      <c r="H11" s="10">
        <v>121600</v>
      </c>
      <c r="I11" s="10">
        <v>124600</v>
      </c>
    </row>
    <row r="12" spans="1:9" x14ac:dyDescent="0.25">
      <c r="A12" s="9">
        <v>0.4</v>
      </c>
      <c r="B12" s="9">
        <v>15.747999999999999</v>
      </c>
      <c r="C12" s="9">
        <v>0.108</v>
      </c>
      <c r="D12" s="10">
        <v>68690</v>
      </c>
      <c r="E12" s="10">
        <v>66100</v>
      </c>
      <c r="F12" s="10">
        <v>206.2</v>
      </c>
      <c r="G12" s="10">
        <v>2390</v>
      </c>
      <c r="H12" s="10">
        <v>66300</v>
      </c>
      <c r="I12" s="10">
        <v>68690</v>
      </c>
    </row>
    <row r="13" spans="1:9" x14ac:dyDescent="0.25">
      <c r="A13" s="9">
        <v>0.5</v>
      </c>
      <c r="B13" s="9">
        <v>19.684999999999999</v>
      </c>
      <c r="C13" s="9">
        <v>0.13500000000000001</v>
      </c>
      <c r="D13" s="10">
        <v>41310</v>
      </c>
      <c r="E13" s="10">
        <v>39100</v>
      </c>
      <c r="F13" s="10">
        <v>146.80000000000001</v>
      </c>
      <c r="G13" s="10">
        <v>2066</v>
      </c>
      <c r="H13" s="10">
        <v>39250</v>
      </c>
      <c r="I13" s="10">
        <v>41310</v>
      </c>
    </row>
    <row r="14" spans="1:9" x14ac:dyDescent="0.25">
      <c r="A14" s="9">
        <v>0.6</v>
      </c>
      <c r="B14" s="9">
        <v>23.622</v>
      </c>
      <c r="C14" s="9">
        <v>0.16200000000000001</v>
      </c>
      <c r="D14" s="10">
        <v>27220</v>
      </c>
      <c r="E14" s="10">
        <v>25270</v>
      </c>
      <c r="F14" s="10">
        <v>111.4</v>
      </c>
      <c r="G14" s="10">
        <v>1833</v>
      </c>
      <c r="H14" s="10">
        <v>25390</v>
      </c>
      <c r="I14" s="10">
        <v>27220</v>
      </c>
    </row>
    <row r="15" spans="1:9" x14ac:dyDescent="0.25">
      <c r="A15" s="9">
        <v>0.8</v>
      </c>
      <c r="B15" s="9">
        <v>31.495999999999999</v>
      </c>
      <c r="C15" s="9">
        <v>0.216</v>
      </c>
      <c r="D15" s="10">
        <v>15380</v>
      </c>
      <c r="E15" s="10">
        <v>13790</v>
      </c>
      <c r="F15" s="10">
        <v>74.099999999999994</v>
      </c>
      <c r="G15" s="10">
        <v>1513</v>
      </c>
      <c r="H15" s="10">
        <v>13860</v>
      </c>
      <c r="I15" s="10">
        <v>15380</v>
      </c>
    </row>
    <row r="16" spans="1:9" x14ac:dyDescent="0.25">
      <c r="A16" s="9">
        <v>1</v>
      </c>
      <c r="B16" s="9">
        <v>39.369999999999997</v>
      </c>
      <c r="C16" s="9">
        <v>0.27</v>
      </c>
      <c r="D16" s="10">
        <v>10570</v>
      </c>
      <c r="E16" s="10">
        <v>9202</v>
      </c>
      <c r="F16" s="10">
        <v>55.68</v>
      </c>
      <c r="G16" s="10">
        <v>1317</v>
      </c>
      <c r="H16" s="10">
        <v>9257</v>
      </c>
      <c r="I16" s="10">
        <v>10570</v>
      </c>
    </row>
    <row r="17" spans="1:9" x14ac:dyDescent="0.25">
      <c r="A17" s="9">
        <v>1.5</v>
      </c>
      <c r="B17" s="9">
        <v>59.055</v>
      </c>
      <c r="C17" s="9">
        <v>0.40500000000000003</v>
      </c>
      <c r="D17" s="10">
        <v>5695</v>
      </c>
      <c r="E17" s="10">
        <v>4597</v>
      </c>
      <c r="F17" s="10">
        <v>35.26</v>
      </c>
      <c r="G17" s="10">
        <v>1063</v>
      </c>
      <c r="H17" s="10">
        <v>4632</v>
      </c>
      <c r="I17" s="10">
        <v>5695</v>
      </c>
    </row>
    <row r="18" spans="1:9" x14ac:dyDescent="0.25">
      <c r="A18" s="9">
        <v>2</v>
      </c>
      <c r="B18" s="9">
        <v>78.739999999999995</v>
      </c>
      <c r="C18" s="9">
        <v>0.54</v>
      </c>
      <c r="D18" s="10">
        <v>3712</v>
      </c>
      <c r="E18" s="10">
        <v>2763</v>
      </c>
      <c r="F18" s="10">
        <v>26.24</v>
      </c>
      <c r="G18" s="10">
        <v>923.1</v>
      </c>
      <c r="H18" s="10">
        <v>2789</v>
      </c>
      <c r="I18" s="10">
        <v>3712</v>
      </c>
    </row>
    <row r="19" spans="1:9" x14ac:dyDescent="0.25">
      <c r="A19" s="9">
        <v>2.5</v>
      </c>
      <c r="B19" s="9">
        <v>98.424999999999997</v>
      </c>
      <c r="C19" s="9">
        <v>0.67500000000000004</v>
      </c>
      <c r="D19" s="10">
        <v>2618</v>
      </c>
      <c r="E19" s="10">
        <v>1763</v>
      </c>
      <c r="F19" s="10">
        <v>20.98</v>
      </c>
      <c r="G19" s="10">
        <v>834</v>
      </c>
      <c r="H19" s="10">
        <v>1784</v>
      </c>
      <c r="I19" s="10">
        <v>2618</v>
      </c>
    </row>
    <row r="20" spans="1:9" x14ac:dyDescent="0.25">
      <c r="A20" s="9">
        <v>3</v>
      </c>
      <c r="B20" s="9">
        <v>118.11</v>
      </c>
      <c r="C20" s="9">
        <v>0.81</v>
      </c>
      <c r="D20" s="10">
        <v>1932</v>
      </c>
      <c r="E20" s="10">
        <v>1143</v>
      </c>
      <c r="F20" s="10">
        <v>17.510000000000002</v>
      </c>
      <c r="G20" s="10">
        <v>771.2</v>
      </c>
      <c r="H20" s="10">
        <v>1160</v>
      </c>
      <c r="I20" s="10">
        <v>1932</v>
      </c>
    </row>
    <row r="21" spans="1:9" x14ac:dyDescent="0.25">
      <c r="A21" s="9">
        <v>4</v>
      </c>
      <c r="B21" s="9">
        <v>157.47999999999999</v>
      </c>
      <c r="C21" s="9">
        <v>1.08</v>
      </c>
      <c r="D21" s="10">
        <v>1192</v>
      </c>
      <c r="E21" s="10">
        <v>491.8</v>
      </c>
      <c r="F21" s="10">
        <v>13.24</v>
      </c>
      <c r="G21" s="10">
        <v>686.7</v>
      </c>
      <c r="H21" s="10">
        <v>505.1</v>
      </c>
      <c r="I21" s="10">
        <v>1192</v>
      </c>
    </row>
    <row r="22" spans="1:9" x14ac:dyDescent="0.25">
      <c r="A22" s="9">
        <v>5</v>
      </c>
      <c r="B22" s="9">
        <v>196.85</v>
      </c>
      <c r="C22" s="9">
        <v>1.35</v>
      </c>
      <c r="D22" s="10">
        <v>840.9</v>
      </c>
      <c r="E22" s="10">
        <v>200.1</v>
      </c>
      <c r="F22" s="10">
        <v>10.72</v>
      </c>
      <c r="G22" s="10">
        <v>630</v>
      </c>
      <c r="H22" s="10">
        <v>210.8</v>
      </c>
      <c r="I22" s="10">
        <v>840.9</v>
      </c>
    </row>
    <row r="23" spans="1:9" x14ac:dyDescent="0.25">
      <c r="A23" s="9">
        <v>6</v>
      </c>
      <c r="B23" s="9">
        <v>236.22</v>
      </c>
      <c r="C23" s="9">
        <v>1.62</v>
      </c>
      <c r="D23" s="10">
        <v>676.6</v>
      </c>
      <c r="E23" s="10">
        <v>75.42</v>
      </c>
      <c r="F23" s="10">
        <v>9.0630000000000006</v>
      </c>
      <c r="G23" s="10">
        <v>592.1</v>
      </c>
      <c r="H23" s="10">
        <v>84.49</v>
      </c>
      <c r="I23" s="10">
        <v>676.6</v>
      </c>
    </row>
    <row r="24" spans="1:9" x14ac:dyDescent="0.25">
      <c r="A24" s="9">
        <v>7</v>
      </c>
      <c r="B24" s="9">
        <v>275.58999999999997</v>
      </c>
      <c r="C24" s="9">
        <v>1.89</v>
      </c>
      <c r="D24" s="10">
        <v>593.79999999999995</v>
      </c>
      <c r="E24" s="10">
        <v>27.75</v>
      </c>
      <c r="F24" s="10">
        <v>7.8979999999999997</v>
      </c>
      <c r="G24" s="10">
        <v>558.1</v>
      </c>
      <c r="H24" s="10">
        <v>35.64</v>
      </c>
      <c r="I24" s="10">
        <v>593.79999999999995</v>
      </c>
    </row>
    <row r="25" spans="1:9" x14ac:dyDescent="0.25">
      <c r="A25" s="9">
        <v>8</v>
      </c>
      <c r="B25" s="9">
        <v>314.95999999999998</v>
      </c>
      <c r="C25" s="9">
        <v>2.16</v>
      </c>
      <c r="D25" s="10">
        <v>546.5</v>
      </c>
      <c r="E25" s="10">
        <v>9.9179999999999993</v>
      </c>
      <c r="F25" s="10">
        <v>7.0389999999999997</v>
      </c>
      <c r="G25" s="10">
        <v>529.6</v>
      </c>
      <c r="H25" s="10">
        <v>16.96</v>
      </c>
      <c r="I25" s="10">
        <v>546.5</v>
      </c>
    </row>
    <row r="26" spans="1:9" x14ac:dyDescent="0.25">
      <c r="A26" s="9">
        <v>9</v>
      </c>
      <c r="B26" s="9">
        <v>354.33</v>
      </c>
      <c r="C26" s="9">
        <v>2.4300000000000002</v>
      </c>
      <c r="D26" s="10">
        <v>517</v>
      </c>
      <c r="E26" s="10">
        <v>3.4089999999999998</v>
      </c>
      <c r="F26" s="10">
        <v>6.3760000000000003</v>
      </c>
      <c r="G26" s="10">
        <v>507.2</v>
      </c>
      <c r="H26" s="10">
        <v>9.7850000000000001</v>
      </c>
      <c r="I26" s="10">
        <v>517</v>
      </c>
    </row>
    <row r="27" spans="1:9" x14ac:dyDescent="0.25">
      <c r="A27" s="9">
        <v>10</v>
      </c>
      <c r="B27" s="9">
        <v>393.7</v>
      </c>
      <c r="C27" s="9">
        <v>2.7</v>
      </c>
      <c r="D27" s="10">
        <v>491.2</v>
      </c>
      <c r="E27" s="10">
        <v>1.1240000000000001</v>
      </c>
      <c r="F27" s="10">
        <v>5.8520000000000003</v>
      </c>
      <c r="G27" s="10">
        <v>484.2</v>
      </c>
      <c r="H27" s="10">
        <v>6.9749999999999996</v>
      </c>
      <c r="I27" s="10">
        <v>491.2</v>
      </c>
    </row>
    <row r="28" spans="1:9" x14ac:dyDescent="0.25">
      <c r="A28" s="9">
        <v>12</v>
      </c>
      <c r="B28" s="9">
        <v>472.44</v>
      </c>
      <c r="C28" s="9">
        <v>3.24</v>
      </c>
      <c r="D28" s="10">
        <v>455</v>
      </c>
      <c r="E28" s="10">
        <v>9.493E-2</v>
      </c>
      <c r="F28" s="10">
        <v>5.0739999999999998</v>
      </c>
      <c r="G28" s="10">
        <v>449.9</v>
      </c>
      <c r="H28" s="10">
        <v>5.1689999999999996</v>
      </c>
      <c r="I28" s="10">
        <v>455</v>
      </c>
    </row>
    <row r="29" spans="1:9" x14ac:dyDescent="0.25">
      <c r="A29" s="9">
        <v>14</v>
      </c>
      <c r="B29" s="9">
        <v>551.17999999999995</v>
      </c>
      <c r="C29" s="9">
        <v>3.78</v>
      </c>
      <c r="D29" s="10">
        <v>424.3</v>
      </c>
      <c r="E29" s="10">
        <v>2.725E-3</v>
      </c>
      <c r="F29" s="10">
        <v>4.5119999999999996</v>
      </c>
      <c r="G29" s="10">
        <v>419.8</v>
      </c>
      <c r="H29" s="10">
        <v>4.5149999999999997</v>
      </c>
      <c r="I29" s="10">
        <v>424.3</v>
      </c>
    </row>
    <row r="30" spans="1:9" x14ac:dyDescent="0.25">
      <c r="A30" s="9">
        <v>16</v>
      </c>
      <c r="B30" s="9">
        <v>629.91999999999996</v>
      </c>
      <c r="C30" s="9">
        <v>4.32</v>
      </c>
      <c r="D30" s="10">
        <v>400.1</v>
      </c>
      <c r="E30" s="10">
        <v>2.086E-5</v>
      </c>
      <c r="F30" s="10">
        <v>4.0759999999999996</v>
      </c>
      <c r="G30" s="10">
        <v>396</v>
      </c>
      <c r="H30" s="10">
        <v>4.0759999999999996</v>
      </c>
      <c r="I30" s="10">
        <v>400.1</v>
      </c>
    </row>
    <row r="31" spans="1:9" x14ac:dyDescent="0.25">
      <c r="A31" s="9">
        <v>18</v>
      </c>
      <c r="B31" s="9">
        <v>708.66</v>
      </c>
      <c r="C31" s="9">
        <v>4.8600000000000003</v>
      </c>
      <c r="D31" s="10">
        <v>380.6</v>
      </c>
      <c r="E31" s="10">
        <v>2.4550000000000002E-7</v>
      </c>
      <c r="F31" s="10">
        <v>3.722</v>
      </c>
      <c r="G31" s="10">
        <v>376.9</v>
      </c>
      <c r="H31" s="10">
        <v>3.722</v>
      </c>
      <c r="I31" s="10">
        <v>380.6</v>
      </c>
    </row>
    <row r="32" spans="1:9" x14ac:dyDescent="0.25">
      <c r="A32" s="9">
        <v>20</v>
      </c>
      <c r="B32" s="9">
        <v>787.4</v>
      </c>
      <c r="C32" s="9">
        <v>5.4</v>
      </c>
      <c r="D32" s="10">
        <v>360.1</v>
      </c>
      <c r="E32" s="10">
        <v>0</v>
      </c>
      <c r="F32" s="10">
        <v>3.4239999999999999</v>
      </c>
      <c r="G32" s="10">
        <v>356.7</v>
      </c>
      <c r="H32" s="10">
        <v>3.4239999999999999</v>
      </c>
      <c r="I32" s="10">
        <v>360.1</v>
      </c>
    </row>
    <row r="35" spans="1:2" x14ac:dyDescent="0.25">
      <c r="A35" t="s">
        <v>4</v>
      </c>
      <c r="B35" t="s">
        <v>21</v>
      </c>
    </row>
    <row r="36" spans="1:2" x14ac:dyDescent="0.25">
      <c r="A36">
        <f>A8</f>
        <v>0.05</v>
      </c>
      <c r="B36" s="3">
        <f>D8/1000</f>
        <v>1108</v>
      </c>
    </row>
    <row r="37" spans="1:2" x14ac:dyDescent="0.25">
      <c r="A37">
        <f t="shared" ref="A37:A66" si="2">A9</f>
        <v>0.1</v>
      </c>
      <c r="B37" s="3">
        <f t="shared" ref="B37:B60" si="3">D9/1000</f>
        <v>600.70000000000005</v>
      </c>
    </row>
    <row r="38" spans="1:2" x14ac:dyDescent="0.25">
      <c r="A38">
        <f t="shared" si="2"/>
        <v>0.2</v>
      </c>
      <c r="B38" s="3">
        <f t="shared" si="3"/>
        <v>252.4</v>
      </c>
    </row>
    <row r="39" spans="1:2" x14ac:dyDescent="0.25">
      <c r="A39">
        <f t="shared" si="2"/>
        <v>0.3</v>
      </c>
      <c r="B39" s="3">
        <f t="shared" si="3"/>
        <v>124.6</v>
      </c>
    </row>
    <row r="40" spans="1:2" x14ac:dyDescent="0.25">
      <c r="A40">
        <f t="shared" si="2"/>
        <v>0.4</v>
      </c>
      <c r="B40" s="3">
        <f t="shared" si="3"/>
        <v>68.69</v>
      </c>
    </row>
    <row r="41" spans="1:2" x14ac:dyDescent="0.25">
      <c r="A41">
        <f t="shared" si="2"/>
        <v>0.5</v>
      </c>
      <c r="B41" s="3">
        <f t="shared" si="3"/>
        <v>41.31</v>
      </c>
    </row>
    <row r="42" spans="1:2" x14ac:dyDescent="0.25">
      <c r="A42">
        <f t="shared" si="2"/>
        <v>0.6</v>
      </c>
      <c r="B42" s="3">
        <f t="shared" si="3"/>
        <v>27.22</v>
      </c>
    </row>
    <row r="43" spans="1:2" x14ac:dyDescent="0.25">
      <c r="A43">
        <f t="shared" si="2"/>
        <v>0.8</v>
      </c>
      <c r="B43" s="3">
        <f t="shared" si="3"/>
        <v>15.38</v>
      </c>
    </row>
    <row r="44" spans="1:2" x14ac:dyDescent="0.25">
      <c r="A44">
        <f t="shared" si="2"/>
        <v>1</v>
      </c>
      <c r="B44" s="3">
        <f t="shared" si="3"/>
        <v>10.57</v>
      </c>
    </row>
    <row r="45" spans="1:2" x14ac:dyDescent="0.25">
      <c r="A45">
        <f t="shared" si="2"/>
        <v>1.5</v>
      </c>
      <c r="B45" s="3">
        <f t="shared" si="3"/>
        <v>5.6950000000000003</v>
      </c>
    </row>
    <row r="46" spans="1:2" x14ac:dyDescent="0.25">
      <c r="A46">
        <f t="shared" si="2"/>
        <v>2</v>
      </c>
      <c r="B46" s="3">
        <f t="shared" si="3"/>
        <v>3.7120000000000002</v>
      </c>
    </row>
    <row r="47" spans="1:2" x14ac:dyDescent="0.25">
      <c r="A47">
        <f t="shared" si="2"/>
        <v>2.5</v>
      </c>
      <c r="B47" s="3">
        <f t="shared" si="3"/>
        <v>2.6179999999999999</v>
      </c>
    </row>
    <row r="48" spans="1:2" x14ac:dyDescent="0.25">
      <c r="A48">
        <f t="shared" si="2"/>
        <v>3</v>
      </c>
      <c r="B48" s="3">
        <f t="shared" si="3"/>
        <v>1.9319999999999999</v>
      </c>
    </row>
    <row r="49" spans="1:2" x14ac:dyDescent="0.25">
      <c r="A49">
        <f t="shared" si="2"/>
        <v>4</v>
      </c>
      <c r="B49" s="3">
        <f t="shared" si="3"/>
        <v>1.1919999999999999</v>
      </c>
    </row>
    <row r="50" spans="1:2" x14ac:dyDescent="0.25">
      <c r="A50">
        <f t="shared" si="2"/>
        <v>5</v>
      </c>
      <c r="B50" s="3">
        <f t="shared" si="3"/>
        <v>0.84089999999999998</v>
      </c>
    </row>
    <row r="51" spans="1:2" x14ac:dyDescent="0.25">
      <c r="A51">
        <f t="shared" si="2"/>
        <v>6</v>
      </c>
      <c r="B51" s="3">
        <f t="shared" si="3"/>
        <v>0.67659999999999998</v>
      </c>
    </row>
    <row r="52" spans="1:2" x14ac:dyDescent="0.25">
      <c r="A52">
        <f t="shared" si="2"/>
        <v>7</v>
      </c>
      <c r="B52" s="3">
        <f t="shared" si="3"/>
        <v>0.59379999999999999</v>
      </c>
    </row>
    <row r="53" spans="1:2" x14ac:dyDescent="0.25">
      <c r="A53">
        <f t="shared" si="2"/>
        <v>8</v>
      </c>
      <c r="B53" s="3">
        <f t="shared" si="3"/>
        <v>0.54649999999999999</v>
      </c>
    </row>
    <row r="54" spans="1:2" x14ac:dyDescent="0.25">
      <c r="A54">
        <f t="shared" si="2"/>
        <v>9</v>
      </c>
      <c r="B54" s="3">
        <f t="shared" si="3"/>
        <v>0.51700000000000002</v>
      </c>
    </row>
    <row r="55" spans="1:2" x14ac:dyDescent="0.25">
      <c r="A55">
        <f t="shared" si="2"/>
        <v>10</v>
      </c>
      <c r="B55" s="3">
        <f t="shared" si="3"/>
        <v>0.49119999999999997</v>
      </c>
    </row>
    <row r="56" spans="1:2" x14ac:dyDescent="0.25">
      <c r="A56">
        <f t="shared" si="2"/>
        <v>12</v>
      </c>
      <c r="B56" s="3">
        <f t="shared" si="3"/>
        <v>0.45500000000000002</v>
      </c>
    </row>
    <row r="57" spans="1:2" x14ac:dyDescent="0.25">
      <c r="A57">
        <f t="shared" si="2"/>
        <v>14</v>
      </c>
      <c r="B57" s="3">
        <f t="shared" si="3"/>
        <v>0.42430000000000001</v>
      </c>
    </row>
    <row r="58" spans="1:2" x14ac:dyDescent="0.25">
      <c r="A58">
        <f t="shared" si="2"/>
        <v>16</v>
      </c>
      <c r="B58" s="3">
        <f t="shared" si="3"/>
        <v>0.40010000000000001</v>
      </c>
    </row>
    <row r="59" spans="1:2" x14ac:dyDescent="0.25">
      <c r="A59">
        <f t="shared" si="2"/>
        <v>18</v>
      </c>
      <c r="B59" s="3">
        <f t="shared" si="3"/>
        <v>0.38060000000000005</v>
      </c>
    </row>
    <row r="60" spans="1:2" x14ac:dyDescent="0.25">
      <c r="A60">
        <f t="shared" si="2"/>
        <v>20</v>
      </c>
      <c r="B60" s="3">
        <f t="shared" si="3"/>
        <v>0.36010000000000003</v>
      </c>
    </row>
  </sheetData>
  <mergeCells count="2">
    <mergeCell ref="A6:C6"/>
    <mergeCell ref="D6:D7"/>
  </mergeCells>
  <phoneticPr fontId="2" type="noConversion"/>
  <hyperlinks>
    <hyperlink ref="E6" r:id="rId1" location="EDI" display="https://www.spenvis.oma.be/spenvis/htusers/J/Juacliga/PL2/1782242357/spenvis_trp.html - EDI" xr:uid="{A7067D20-BD9C-4F44-92B1-FEBBFEC0C279}"/>
    <hyperlink ref="E7" r:id="rId2" location="EDI" display="https://www.spenvis.oma.be/spenvis/htusers/J/Juacliga/PL2/1782242357/spenvis_trp.html - EDI" xr:uid="{33552619-6625-46DB-A751-CCAC13520716}"/>
    <hyperlink ref="G6" r:id="rId3" location="PDI" display="https://www.spenvis.oma.be/spenvis/htusers/J/Juacliga/PL2/1782242357/spenvis_trp.html - PDI" xr:uid="{605ADD5B-40DB-4CE2-A282-675F60957745}"/>
    <hyperlink ref="G7" r:id="rId4" location="PDI" display="https://www.spenvis.oma.be/spenvis/htusers/J/Juacliga/PL2/1782242357/spenvis_trp.html - PDI" xr:uid="{A7BB35EC-B27F-470F-90F3-D48710CB2B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CLIMENT GARCÍA</dc:creator>
  <cp:lastModifiedBy>JUAN CLIMENT GARCÍA</cp:lastModifiedBy>
  <dcterms:created xsi:type="dcterms:W3CDTF">2026-06-23T15:19:52Z</dcterms:created>
  <dcterms:modified xsi:type="dcterms:W3CDTF">2026-06-23T20:34:19Z</dcterms:modified>
</cp:coreProperties>
</file>